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Day wise\"/>
    </mc:Choice>
  </mc:AlternateContent>
  <xr:revisionPtr revIDLastSave="0" documentId="8_{DE6FD24C-BE55-45DE-896E-0A78348FBF59}" xr6:coauthVersionLast="47" xr6:coauthVersionMax="47" xr10:uidLastSave="{00000000-0000-0000-0000-000000000000}"/>
  <bookViews>
    <workbookView xWindow="-108" yWindow="-108" windowWidth="23256" windowHeight="12456" xr2:uid="{396A967D-BF64-4E90-AF7F-2065B801D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 a="1"/>
  <c r="J3" i="1"/>
  <c r="F4" i="1" l="1"/>
  <c r="H4" i="1" s="1"/>
  <c r="F5" i="1"/>
  <c r="H5" i="1" s="1"/>
  <c r="F6" i="1"/>
  <c r="H6" i="1" s="1"/>
  <c r="F7" i="1"/>
  <c r="H7" i="1" s="1"/>
  <c r="F3" i="1"/>
  <c r="H3" i="1" s="1"/>
  <c r="J6" i="1" l="1" a="1"/>
  <c r="J6" i="1" s="1"/>
  <c r="I6" i="1"/>
  <c r="J5" i="1" a="1"/>
  <c r="J5" i="1" s="1"/>
  <c r="I5" i="1"/>
  <c r="J4" i="1" a="1"/>
  <c r="J4" i="1" s="1"/>
  <c r="I4" i="1"/>
  <c r="I3" i="1"/>
  <c r="I7" i="1"/>
  <c r="J7" i="1" a="1"/>
  <c r="J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<sst xmlns="http://schemas.openxmlformats.org/spreadsheetml/2006/main" count="22" uniqueCount="18">
  <si>
    <t>Name</t>
  </si>
  <si>
    <t>Class</t>
  </si>
  <si>
    <t>Maths</t>
  </si>
  <si>
    <t>Hindi</t>
  </si>
  <si>
    <t>English</t>
  </si>
  <si>
    <t>OM</t>
  </si>
  <si>
    <t>TM</t>
  </si>
  <si>
    <t>Aman</t>
  </si>
  <si>
    <t>Anurag</t>
  </si>
  <si>
    <t>Dhruv</t>
  </si>
  <si>
    <t>Pathak</t>
  </si>
  <si>
    <t>Saurabh</t>
  </si>
  <si>
    <t>11th</t>
  </si>
  <si>
    <t>Result</t>
  </si>
  <si>
    <t>%ge</t>
  </si>
  <si>
    <t>Grades</t>
  </si>
  <si>
    <t>Student Result</t>
  </si>
  <si>
    <t>Use of if and 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</si>
</sst>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A52C1-3190-4153-B321-1C0A6CBBDE98}" name="Table1" displayName="Table1" ref="A2:J7" totalsRowShown="0" headerRowDxfId="0" dataDxfId="1">
  <autoFilter ref="A2:J7" xr:uid="{84DA52C1-3190-4153-B321-1C0A6CBBDE98}"/>
  <tableColumns count="10">
    <tableColumn id="1" xr3:uid="{12C215AF-9B92-45B0-A8DF-2D621C719097}" name="Name" dataDxfId="11"/>
    <tableColumn id="2" xr3:uid="{BA8D29E3-89EB-4D1B-83B9-39F1204C0E52}" name="Class" dataDxfId="10"/>
    <tableColumn id="3" xr3:uid="{70824C05-2CA3-4E0B-8C92-BDBE7C22B7B6}" name="Maths" dataDxfId="9"/>
    <tableColumn id="4" xr3:uid="{0060B806-7810-499E-AEA7-F26DE9C1EA16}" name="Hindi" dataDxfId="8"/>
    <tableColumn id="5" xr3:uid="{8A0873E2-9B77-4C57-8A67-71192ADB787A}" name="English" dataDxfId="7"/>
    <tableColumn id="6" xr3:uid="{BAAE88AE-7286-4E8B-A9A0-C0F206FE30E7}" name="OM" dataDxfId="6">
      <calculatedColumnFormula>SUM(C3:E3)</calculatedColumnFormula>
    </tableColumn>
    <tableColumn id="7" xr3:uid="{C6125D2D-B80F-4DD3-9D61-D57B4E8D24D8}" name="TM" dataDxfId="5"/>
    <tableColumn id="8" xr3:uid="{D4DE257D-99AE-4388-8639-66D92D5CAF25}" name="%ge" dataDxfId="4">
      <calculatedColumnFormula>F3/3</calculatedColumnFormula>
    </tableColumn>
    <tableColumn id="9" xr3:uid="{BC251B42-8ECA-47DF-A2CD-374BE927E330}" name="Result" dataDxfId="3">
      <calculatedColumnFormula>IF(H3&gt;=50,"Pass","Fail")</calculatedColumnFormula>
    </tableColumn>
    <tableColumn id="10" xr3:uid="{22734C2F-7AB3-423D-8132-43654A95E588}" name="Grades" dataDxfId="2">
      <calculatedColumnFormula array="1">_xlfn.IFS(H3&gt;80,"A",H3&gt;60,"B",H3&gt;50,"C",H3&lt;=50,"F")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D719-0977-44E9-8688-01DB2A65FD36}">
  <dimension ref="A1:Q24"/>
  <sheetViews>
    <sheetView tabSelected="1" workbookViewId="0">
      <selection activeCell="M12" sqref="M12"/>
    </sheetView>
  </sheetViews>
  <sheetFormatPr defaultRowHeight="14.4" x14ac:dyDescent="0.3"/>
  <cols>
    <col min="5" max="5" width="9.21875" customWidth="1"/>
    <col min="8" max="8" width="6.6640625" customWidth="1"/>
    <col min="10" max="10" width="9" customWidth="1"/>
  </cols>
  <sheetData>
    <row r="1" spans="1:17" ht="27.6" customHeight="1" x14ac:dyDescent="0.4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spans="1:1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14</v>
      </c>
      <c r="I2" s="1" t="s">
        <v>13</v>
      </c>
      <c r="J2" s="1" t="s">
        <v>15</v>
      </c>
      <c r="K2" s="1"/>
      <c r="L2" s="1"/>
      <c r="M2" s="1"/>
      <c r="N2" s="1"/>
      <c r="O2" s="1"/>
      <c r="P2" s="1"/>
      <c r="Q2" s="1"/>
    </row>
    <row r="3" spans="1:17" x14ac:dyDescent="0.3">
      <c r="A3" s="1" t="s">
        <v>7</v>
      </c>
      <c r="B3" s="1" t="s">
        <v>12</v>
      </c>
      <c r="C3" s="1">
        <v>45</v>
      </c>
      <c r="D3" s="1">
        <v>33</v>
      </c>
      <c r="E3" s="1">
        <v>45</v>
      </c>
      <c r="F3" s="1">
        <f>SUM(C3:E3)</f>
        <v>123</v>
      </c>
      <c r="G3" s="1">
        <v>300</v>
      </c>
      <c r="H3" s="1">
        <f>F3/3</f>
        <v>41</v>
      </c>
      <c r="I3" s="1" t="str">
        <f>IF(H3&gt;=50,"Pass","Fail")</f>
        <v>Fail</v>
      </c>
      <c r="J3" s="1" t="str" cm="1">
        <f t="array" ref="J3">_xlfn.IFS(H3&gt;80,"A",H3&gt;60,"B",H3&gt;50,"C",H3&lt;=50,"F")</f>
        <v>F</v>
      </c>
      <c r="K3" s="1"/>
      <c r="L3" s="1"/>
      <c r="M3" s="1"/>
      <c r="N3" s="1"/>
      <c r="O3" s="1"/>
      <c r="P3" s="1"/>
      <c r="Q3" s="1"/>
    </row>
    <row r="4" spans="1:17" x14ac:dyDescent="0.3">
      <c r="A4" s="1" t="s">
        <v>8</v>
      </c>
      <c r="B4" s="1" t="s">
        <v>12</v>
      </c>
      <c r="C4" s="1">
        <v>58</v>
      </c>
      <c r="D4" s="1">
        <v>55</v>
      </c>
      <c r="E4" s="1">
        <v>75</v>
      </c>
      <c r="F4" s="1">
        <f t="shared" ref="F4:F7" si="0">SUM(C4:E4)</f>
        <v>188</v>
      </c>
      <c r="G4" s="1">
        <v>300</v>
      </c>
      <c r="H4" s="1">
        <f t="shared" ref="H4:H7" si="1">F4/3</f>
        <v>62.666666666666664</v>
      </c>
      <c r="I4" s="1" t="str">
        <f t="shared" ref="I4:I7" si="2">IF(H4&gt;=50,"Pass","Fail")</f>
        <v>Pass</v>
      </c>
      <c r="J4" s="1" t="str" cm="1">
        <f t="array" ref="J4">_xlfn.IFS(H4&gt;80,"A",H4&gt;60,"B",H4&gt;50,"C",H4&lt;=50,"F")</f>
        <v>B</v>
      </c>
      <c r="K4" s="1"/>
      <c r="L4" s="1"/>
      <c r="M4" s="1"/>
      <c r="N4" s="1"/>
      <c r="O4" s="1"/>
      <c r="P4" s="1"/>
      <c r="Q4" s="1"/>
    </row>
    <row r="5" spans="1:17" x14ac:dyDescent="0.3">
      <c r="A5" s="1" t="s">
        <v>9</v>
      </c>
      <c r="B5" s="1" t="s">
        <v>12</v>
      </c>
      <c r="C5" s="1">
        <v>33</v>
      </c>
      <c r="D5" s="1">
        <v>75</v>
      </c>
      <c r="E5" s="1">
        <v>65</v>
      </c>
      <c r="F5" s="1">
        <f t="shared" si="0"/>
        <v>173</v>
      </c>
      <c r="G5" s="1">
        <v>300</v>
      </c>
      <c r="H5" s="1">
        <f t="shared" si="1"/>
        <v>57.666666666666664</v>
      </c>
      <c r="I5" s="1" t="str">
        <f t="shared" si="2"/>
        <v>Pass</v>
      </c>
      <c r="J5" s="1" t="str" cm="1">
        <f t="array" ref="J5">_xlfn.IFS(H5&gt;80,"A",H5&gt;60,"B",H5&gt;50,"C",H5&lt;=50,"F")</f>
        <v>C</v>
      </c>
      <c r="K5" s="1"/>
      <c r="L5" s="1"/>
      <c r="M5" s="1"/>
      <c r="N5" s="1"/>
      <c r="O5" s="1"/>
      <c r="P5" s="1"/>
      <c r="Q5" s="1"/>
    </row>
    <row r="6" spans="1:17" x14ac:dyDescent="0.3">
      <c r="A6" s="1" t="s">
        <v>10</v>
      </c>
      <c r="B6" s="1" t="s">
        <v>12</v>
      </c>
      <c r="C6" s="1">
        <v>50</v>
      </c>
      <c r="D6" s="1">
        <v>86</v>
      </c>
      <c r="E6" s="1">
        <v>55</v>
      </c>
      <c r="F6" s="1">
        <f t="shared" si="0"/>
        <v>191</v>
      </c>
      <c r="G6" s="1">
        <v>300</v>
      </c>
      <c r="H6" s="1">
        <f t="shared" si="1"/>
        <v>63.666666666666664</v>
      </c>
      <c r="I6" s="1" t="str">
        <f t="shared" si="2"/>
        <v>Pass</v>
      </c>
      <c r="J6" s="1" t="str" cm="1">
        <f t="array" ref="J6">_xlfn.IFS(H6&gt;80,"A",H6&gt;60,"B",H6&gt;50,"C",H6&lt;=50,"F")</f>
        <v>B</v>
      </c>
      <c r="K6" s="1"/>
      <c r="L6" s="1"/>
      <c r="M6" s="1"/>
      <c r="N6" s="1"/>
      <c r="O6" s="1"/>
      <c r="P6" s="1"/>
      <c r="Q6" s="1"/>
    </row>
    <row r="7" spans="1:17" x14ac:dyDescent="0.3">
      <c r="A7" s="1" t="s">
        <v>11</v>
      </c>
      <c r="B7" s="1" t="s">
        <v>12</v>
      </c>
      <c r="C7" s="1">
        <v>68</v>
      </c>
      <c r="D7" s="1">
        <v>33</v>
      </c>
      <c r="E7" s="1">
        <v>76</v>
      </c>
      <c r="F7" s="1">
        <f t="shared" si="0"/>
        <v>177</v>
      </c>
      <c r="G7" s="1">
        <v>300</v>
      </c>
      <c r="H7" s="1">
        <f t="shared" si="1"/>
        <v>59</v>
      </c>
      <c r="I7" s="1" t="str">
        <f t="shared" si="2"/>
        <v>Pass</v>
      </c>
      <c r="J7" s="1" t="str" cm="1">
        <f t="array" ref="J7">_xlfn.IFS(H7&gt;80,"A",H7&gt;60,"B",H7&gt;50,"C",H7&lt;=50,"F")</f>
        <v>C</v>
      </c>
      <c r="K7" s="1"/>
      <c r="L7" s="1"/>
      <c r="M7" s="1"/>
      <c r="N7" s="1"/>
      <c r="O7" s="1"/>
      <c r="P7" s="1"/>
      <c r="Q7" s="1"/>
    </row>
    <row r="8" spans="1:17" x14ac:dyDescent="0.3">
      <c r="A8" s="1"/>
      <c r="B8" s="3" t="s">
        <v>17</v>
      </c>
      <c r="C8" s="3"/>
      <c r="D8" s="3"/>
      <c r="E8" s="3"/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</row>
    <row r="9" spans="1:17" x14ac:dyDescent="0.3">
      <c r="A9" s="1"/>
      <c r="B9" s="3"/>
      <c r="C9" s="3"/>
      <c r="D9" s="3"/>
      <c r="E9" s="3"/>
      <c r="F9" s="3"/>
      <c r="G9" s="3"/>
      <c r="H9" s="3"/>
      <c r="I9" s="3"/>
      <c r="J9" s="3"/>
      <c r="K9" s="1"/>
      <c r="L9" s="1"/>
      <c r="M9" s="1"/>
      <c r="N9" s="1"/>
      <c r="O9" s="1"/>
      <c r="P9" s="1"/>
      <c r="Q9" s="1"/>
    </row>
    <row r="10" spans="1:1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</sheetData>
  <mergeCells count="2">
    <mergeCell ref="A1:J1"/>
    <mergeCell ref="B8:J9"/>
  </mergeCells>
  <phoneticPr fontId="1" type="noConversion"/>
  <conditionalFormatting sqref="A2:J7">
    <cfRule type="cellIs" dxfId="19" priority="8" operator="equal">
      <formula>"F"</formula>
    </cfRule>
  </conditionalFormatting>
  <conditionalFormatting sqref="H3:H7">
    <cfRule type="cellIs" dxfId="18" priority="1" operator="lessThan">
      <formula>50</formula>
    </cfRule>
    <cfRule type="cellIs" dxfId="17" priority="2" operator="lessThan">
      <formula>50</formula>
    </cfRule>
    <cfRule type="cellIs" dxfId="16" priority="3" operator="greaterThan">
      <formula>50</formula>
    </cfRule>
  </conditionalFormatting>
  <conditionalFormatting sqref="J3:J7">
    <cfRule type="cellIs" dxfId="15" priority="4" operator="equal">
      <formula>"C"</formula>
    </cfRule>
    <cfRule type="cellIs" dxfId="14" priority="5" operator="equal">
      <formula>"B"</formula>
    </cfRule>
    <cfRule type="cellIs" dxfId="13" priority="6" operator="equal">
      <formula>"B"</formula>
    </cfRule>
  </conditionalFormatting>
  <conditionalFormatting sqref="J4:J7">
    <cfRule type="cellIs" dxfId="12" priority="7" operator="lessThan">
      <formula>"B"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2026-08-26T06:34:13Z</dcterms:created>
  <dcterms:modified xsi:type="dcterms:W3CDTF">2026-09-21T18:53:33Z</dcterms:modified>
</cp:coreProperties>
</file>