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Day wise\"/>
    </mc:Choice>
  </mc:AlternateContent>
  <xr:revisionPtr revIDLastSave="0" documentId="8_{866B55CD-401E-4A51-827E-EE0894D0A726}" xr6:coauthVersionLast="47" xr6:coauthVersionMax="47" xr10:uidLastSave="{00000000-0000-0000-0000-000000000000}"/>
  <bookViews>
    <workbookView xWindow="-108" yWindow="-108" windowWidth="23256" windowHeight="12456" xr2:uid="{4325F275-D900-4A76-8BCA-209FC7F64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" i="1" l="1"/>
  <c r="I12" i="1"/>
  <c r="I9" i="1"/>
  <c r="I6" i="1"/>
  <c r="I3" i="1"/>
</calcChain>
</file>

<file path=xl/sharedStrings.xml><?xml version="1.0" encoding="utf-8"?>
<sst xmlns="http://schemas.openxmlformats.org/spreadsheetml/2006/main" count="72" uniqueCount="30">
  <si>
    <t>Product</t>
  </si>
  <si>
    <t>Rahul</t>
  </si>
  <si>
    <t>Priya</t>
  </si>
  <si>
    <t>Sneha</t>
  </si>
  <si>
    <t>Amit</t>
  </si>
  <si>
    <t>Order ID</t>
  </si>
  <si>
    <t>Salesperson</t>
  </si>
  <si>
    <t>Department</t>
  </si>
  <si>
    <t>Region</t>
  </si>
  <si>
    <t>Sales</t>
  </si>
  <si>
    <t>Units</t>
  </si>
  <si>
    <t>Electronics</t>
  </si>
  <si>
    <t>North</t>
  </si>
  <si>
    <t>Laptop</t>
  </si>
  <si>
    <t>Clothing</t>
  </si>
  <si>
    <t>South</t>
  </si>
  <si>
    <t>Shirt</t>
  </si>
  <si>
    <t>Mobile</t>
  </si>
  <si>
    <t>Grocery</t>
  </si>
  <si>
    <t>East</t>
  </si>
  <si>
    <t>Rice</t>
  </si>
  <si>
    <t>Shoes</t>
  </si>
  <si>
    <t>West</t>
  </si>
  <si>
    <t>Oil</t>
  </si>
  <si>
    <t>Jeans</t>
  </si>
  <si>
    <t>Countif- count Sales made by any Individual</t>
  </si>
  <si>
    <t>Countifs- Count Electronics sales in North</t>
  </si>
  <si>
    <t>Sumif- Total sales by any Individual.</t>
  </si>
  <si>
    <t>Sumifs- Total sale of a category of any region.</t>
  </si>
  <si>
    <t>Averageif- Average sales of any department or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</si>
</sst>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11" xfId="0" applyFont="1" applyBorder="1"/>
    <xf numFmtId="0" fontId="2" fillId="0" borderId="0" xfId="0" applyFont="1" applyBorder="1"/>
    <xf numFmtId="0" fontId="2" fillId="0" borderId="12" xfId="0" applyFont="1" applyBorder="1"/>
    <xf numFmtId="0" fontId="2" fillId="0" borderId="1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6" xfId="0" applyFont="1" applyBorder="1"/>
    <xf numFmtId="0" fontId="2" fillId="0" borderId="13" xfId="0" applyFont="1" applyBorder="1"/>
    <xf numFmtId="0" fontId="2" fillId="0" borderId="4" xfId="0" applyFont="1" applyBorder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9663E5-403F-4170-9CA9-58C3EFA65775}" name="Table7" displayName="Table7" ref="A1:G16" totalsRowShown="0" headerRowDxfId="0" dataDxfId="1" headerRowBorderDxfId="10" tableBorderDxfId="11" totalsRowBorderDxfId="9">
  <autoFilter ref="A1:G16" xr:uid="{BF9663E5-403F-4170-9CA9-58C3EFA65775}"/>
  <tableColumns count="7">
    <tableColumn id="1" xr3:uid="{028CF4A1-F7AF-44F9-BD7B-A37D5ED35E42}" name="Order ID" dataDxfId="8"/>
    <tableColumn id="2" xr3:uid="{04A360F4-9737-4B11-BCF4-F0AB816B9DCB}" name="Salesperson" dataDxfId="7"/>
    <tableColumn id="3" xr3:uid="{42C5D4B6-184A-469F-8850-78A657996D33}" name="Department" dataDxfId="6"/>
    <tableColumn id="4" xr3:uid="{34874DE8-FCB0-40CE-9003-1BDAAFABCC67}" name="Region" dataDxfId="5"/>
    <tableColumn id="5" xr3:uid="{E65ECC1B-E349-45F7-8BF6-D9BD3EDD3218}" name="Product" dataDxfId="4"/>
    <tableColumn id="6" xr3:uid="{269C5DDB-FF12-4D9F-AD2B-A0DB4BFB2D56}" name="Sales" dataDxfId="3"/>
    <tableColumn id="7" xr3:uid="{2D2FF378-97F9-4370-BE39-AED9CE4FE5B6}" name="Uni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9293-2C7D-46C2-B0D7-43896F032EEE}">
  <dimension ref="A1:N16"/>
  <sheetViews>
    <sheetView tabSelected="1" workbookViewId="0">
      <selection activeCell="J22" sqref="J22"/>
    </sheetView>
  </sheetViews>
  <sheetFormatPr defaultRowHeight="13.8" x14ac:dyDescent="0.25"/>
  <cols>
    <col min="1" max="1" width="12.5546875" style="4" customWidth="1"/>
    <col min="2" max="3" width="14" style="4" customWidth="1"/>
    <col min="4" max="4" width="9.33203125" style="4" customWidth="1"/>
    <col min="5" max="5" width="10.77734375" style="4" customWidth="1"/>
    <col min="6" max="6" width="8.44140625" style="4" customWidth="1"/>
    <col min="7" max="7" width="8.88671875" style="4" customWidth="1"/>
    <col min="8" max="16384" width="8.88671875" style="4"/>
  </cols>
  <sheetData>
    <row r="1" spans="1:14" ht="18" customHeight="1" x14ac:dyDescent="0.25">
      <c r="A1" s="1" t="s">
        <v>5</v>
      </c>
      <c r="B1" s="2" t="s">
        <v>6</v>
      </c>
      <c r="C1" s="2" t="s">
        <v>7</v>
      </c>
      <c r="D1" s="2" t="s">
        <v>8</v>
      </c>
      <c r="E1" s="2" t="s">
        <v>0</v>
      </c>
      <c r="F1" s="2" t="s">
        <v>9</v>
      </c>
      <c r="G1" s="3" t="s">
        <v>10</v>
      </c>
    </row>
    <row r="2" spans="1:14" x14ac:dyDescent="0.25">
      <c r="A2" s="7">
        <v>1001</v>
      </c>
      <c r="B2" s="5" t="s">
        <v>1</v>
      </c>
      <c r="C2" s="5" t="s">
        <v>11</v>
      </c>
      <c r="D2" s="5" t="s">
        <v>12</v>
      </c>
      <c r="E2" s="5" t="s">
        <v>13</v>
      </c>
      <c r="F2" s="6">
        <v>55000</v>
      </c>
      <c r="G2" s="8">
        <v>2</v>
      </c>
      <c r="I2" s="13" t="s">
        <v>25</v>
      </c>
      <c r="J2" s="14"/>
      <c r="K2" s="14"/>
      <c r="L2" s="14"/>
      <c r="M2" s="14"/>
      <c r="N2" s="15"/>
    </row>
    <row r="3" spans="1:14" x14ac:dyDescent="0.25">
      <c r="A3" s="7">
        <v>1002</v>
      </c>
      <c r="B3" s="5" t="s">
        <v>2</v>
      </c>
      <c r="C3" s="5" t="s">
        <v>14</v>
      </c>
      <c r="D3" s="5" t="s">
        <v>15</v>
      </c>
      <c r="E3" s="5" t="s">
        <v>16</v>
      </c>
      <c r="F3" s="6">
        <v>12000</v>
      </c>
      <c r="G3" s="8">
        <v>10</v>
      </c>
      <c r="I3" s="16">
        <f>COUNTIF(B2:B16,"Rahul")</f>
        <v>4</v>
      </c>
      <c r="J3" s="17"/>
      <c r="K3" s="17"/>
      <c r="L3" s="17"/>
      <c r="M3" s="17"/>
      <c r="N3" s="18"/>
    </row>
    <row r="4" spans="1:14" x14ac:dyDescent="0.25">
      <c r="A4" s="7">
        <v>1003</v>
      </c>
      <c r="B4" s="5" t="s">
        <v>4</v>
      </c>
      <c r="C4" s="5" t="s">
        <v>11</v>
      </c>
      <c r="D4" s="5" t="s">
        <v>12</v>
      </c>
      <c r="E4" s="5" t="s">
        <v>17</v>
      </c>
      <c r="F4" s="6">
        <v>30000</v>
      </c>
      <c r="G4" s="8">
        <v>5</v>
      </c>
      <c r="I4" s="16"/>
      <c r="J4" s="17"/>
      <c r="K4" s="17"/>
      <c r="L4" s="17"/>
      <c r="M4" s="17"/>
      <c r="N4" s="18"/>
    </row>
    <row r="5" spans="1:14" x14ac:dyDescent="0.25">
      <c r="A5" s="7">
        <v>1004</v>
      </c>
      <c r="B5" s="5" t="s">
        <v>3</v>
      </c>
      <c r="C5" s="5" t="s">
        <v>18</v>
      </c>
      <c r="D5" s="5" t="s">
        <v>19</v>
      </c>
      <c r="E5" s="5" t="s">
        <v>20</v>
      </c>
      <c r="F5" s="6">
        <v>18000</v>
      </c>
      <c r="G5" s="8">
        <v>20</v>
      </c>
      <c r="I5" s="19" t="s">
        <v>26</v>
      </c>
      <c r="J5" s="20"/>
      <c r="K5" s="20"/>
      <c r="L5" s="20"/>
      <c r="M5" s="20"/>
      <c r="N5" s="21"/>
    </row>
    <row r="6" spans="1:14" x14ac:dyDescent="0.25">
      <c r="A6" s="7">
        <v>1005</v>
      </c>
      <c r="B6" s="5" t="s">
        <v>1</v>
      </c>
      <c r="C6" s="5" t="s">
        <v>14</v>
      </c>
      <c r="D6" s="5" t="s">
        <v>12</v>
      </c>
      <c r="E6" s="5" t="s">
        <v>21</v>
      </c>
      <c r="F6" s="6">
        <v>15000</v>
      </c>
      <c r="G6" s="8">
        <v>5</v>
      </c>
      <c r="I6" s="16">
        <f>COUNTIFS(Table7[Department],"Electronics",Table7[Region],"North")</f>
        <v>3</v>
      </c>
      <c r="J6" s="17"/>
      <c r="K6" s="17"/>
      <c r="L6" s="17"/>
      <c r="M6" s="17"/>
      <c r="N6" s="18"/>
    </row>
    <row r="7" spans="1:14" x14ac:dyDescent="0.25">
      <c r="A7" s="7">
        <v>1006</v>
      </c>
      <c r="B7" s="5" t="s">
        <v>2</v>
      </c>
      <c r="C7" s="5" t="s">
        <v>11</v>
      </c>
      <c r="D7" s="5" t="s">
        <v>15</v>
      </c>
      <c r="E7" s="5" t="s">
        <v>13</v>
      </c>
      <c r="F7" s="6">
        <v>60000</v>
      </c>
      <c r="G7" s="8">
        <v>2</v>
      </c>
      <c r="I7" s="16"/>
      <c r="J7" s="17"/>
      <c r="K7" s="17"/>
      <c r="L7" s="17"/>
      <c r="M7" s="17"/>
      <c r="N7" s="18"/>
    </row>
    <row r="8" spans="1:14" x14ac:dyDescent="0.25">
      <c r="A8" s="7">
        <v>1007</v>
      </c>
      <c r="B8" s="5" t="s">
        <v>4</v>
      </c>
      <c r="C8" s="5" t="s">
        <v>18</v>
      </c>
      <c r="D8" s="5" t="s">
        <v>22</v>
      </c>
      <c r="E8" s="5" t="s">
        <v>23</v>
      </c>
      <c r="F8" s="6">
        <v>22000</v>
      </c>
      <c r="G8" s="8">
        <v>15</v>
      </c>
      <c r="I8" s="19" t="s">
        <v>27</v>
      </c>
      <c r="J8" s="20"/>
      <c r="K8" s="20"/>
      <c r="L8" s="20"/>
      <c r="M8" s="20"/>
      <c r="N8" s="21"/>
    </row>
    <row r="9" spans="1:14" x14ac:dyDescent="0.25">
      <c r="A9" s="7">
        <v>1008</v>
      </c>
      <c r="B9" s="5" t="s">
        <v>3</v>
      </c>
      <c r="C9" s="5" t="s">
        <v>11</v>
      </c>
      <c r="D9" s="5" t="s">
        <v>19</v>
      </c>
      <c r="E9" s="5" t="s">
        <v>17</v>
      </c>
      <c r="F9" s="6">
        <v>28000</v>
      </c>
      <c r="G9" s="8">
        <v>4</v>
      </c>
      <c r="I9" s="16">
        <f>SUMIF(Table7[Salesperson],"Amit",Table7[Sales])</f>
        <v>118000</v>
      </c>
      <c r="J9" s="17"/>
      <c r="K9" s="17"/>
      <c r="L9" s="17"/>
      <c r="M9" s="17"/>
      <c r="N9" s="18"/>
    </row>
    <row r="10" spans="1:14" ht="15" customHeight="1" x14ac:dyDescent="0.25">
      <c r="A10" s="7">
        <v>1009</v>
      </c>
      <c r="B10" s="5" t="s">
        <v>1</v>
      </c>
      <c r="C10" s="5" t="s">
        <v>18</v>
      </c>
      <c r="D10" s="5" t="s">
        <v>12</v>
      </c>
      <c r="E10" s="5" t="s">
        <v>20</v>
      </c>
      <c r="F10" s="6">
        <v>16000</v>
      </c>
      <c r="G10" s="8">
        <v>18</v>
      </c>
      <c r="I10" s="16"/>
      <c r="J10" s="17"/>
      <c r="K10" s="17"/>
      <c r="L10" s="17"/>
      <c r="M10" s="17"/>
      <c r="N10" s="18"/>
    </row>
    <row r="11" spans="1:14" ht="16.2" customHeight="1" x14ac:dyDescent="0.25">
      <c r="A11" s="7">
        <v>1010</v>
      </c>
      <c r="B11" s="5" t="s">
        <v>2</v>
      </c>
      <c r="C11" s="5" t="s">
        <v>14</v>
      </c>
      <c r="D11" s="5" t="s">
        <v>15</v>
      </c>
      <c r="E11" s="5" t="s">
        <v>24</v>
      </c>
      <c r="F11" s="6">
        <v>20000</v>
      </c>
      <c r="G11" s="8">
        <v>8</v>
      </c>
      <c r="I11" s="19" t="s">
        <v>28</v>
      </c>
      <c r="J11" s="20"/>
      <c r="K11" s="20"/>
      <c r="L11" s="20"/>
      <c r="M11" s="20"/>
      <c r="N11" s="21"/>
    </row>
    <row r="12" spans="1:14" x14ac:dyDescent="0.25">
      <c r="A12" s="7">
        <v>1011</v>
      </c>
      <c r="B12" s="5" t="s">
        <v>4</v>
      </c>
      <c r="C12" s="5" t="s">
        <v>11</v>
      </c>
      <c r="D12" s="5" t="s">
        <v>22</v>
      </c>
      <c r="E12" s="5" t="s">
        <v>13</v>
      </c>
      <c r="F12" s="6">
        <v>52000</v>
      </c>
      <c r="G12" s="8">
        <v>2</v>
      </c>
      <c r="I12" s="16">
        <f>SUMIFS(Table7[Sales],Table7[Department],"Electronics",Table7[Region],"North")</f>
        <v>117000</v>
      </c>
      <c r="J12" s="17"/>
      <c r="K12" s="17"/>
      <c r="L12" s="17"/>
      <c r="M12" s="17"/>
      <c r="N12" s="18"/>
    </row>
    <row r="13" spans="1:14" x14ac:dyDescent="0.25">
      <c r="A13" s="7">
        <v>1012</v>
      </c>
      <c r="B13" s="5" t="s">
        <v>3</v>
      </c>
      <c r="C13" s="5" t="s">
        <v>14</v>
      </c>
      <c r="D13" s="5" t="s">
        <v>19</v>
      </c>
      <c r="E13" s="5" t="s">
        <v>16</v>
      </c>
      <c r="F13" s="6">
        <v>10000</v>
      </c>
      <c r="G13" s="8">
        <v>8</v>
      </c>
      <c r="I13" s="16"/>
      <c r="J13" s="17"/>
      <c r="K13" s="17"/>
      <c r="L13" s="17"/>
      <c r="M13" s="17"/>
      <c r="N13" s="18"/>
    </row>
    <row r="14" spans="1:14" x14ac:dyDescent="0.25">
      <c r="A14" s="7">
        <v>1013</v>
      </c>
      <c r="B14" s="5" t="s">
        <v>1</v>
      </c>
      <c r="C14" s="5" t="s">
        <v>11</v>
      </c>
      <c r="D14" s="5" t="s">
        <v>12</v>
      </c>
      <c r="E14" s="5" t="s">
        <v>17</v>
      </c>
      <c r="F14" s="6">
        <v>32000</v>
      </c>
      <c r="G14" s="8">
        <v>6</v>
      </c>
      <c r="I14" s="19" t="s">
        <v>29</v>
      </c>
      <c r="J14" s="20"/>
      <c r="K14" s="20"/>
      <c r="L14" s="20"/>
      <c r="M14" s="20"/>
      <c r="N14" s="21"/>
    </row>
    <row r="15" spans="1:14" x14ac:dyDescent="0.25">
      <c r="A15" s="7">
        <v>1014</v>
      </c>
      <c r="B15" s="5" t="s">
        <v>2</v>
      </c>
      <c r="C15" s="5" t="s">
        <v>18</v>
      </c>
      <c r="D15" s="5" t="s">
        <v>15</v>
      </c>
      <c r="E15" s="5" t="s">
        <v>20</v>
      </c>
      <c r="F15" s="6">
        <v>19000</v>
      </c>
      <c r="G15" s="8">
        <v>22</v>
      </c>
      <c r="I15" s="16">
        <f>AVERAGEIF(Table7[Department],"Electronics",Table7[Sales])</f>
        <v>42833.333333333336</v>
      </c>
      <c r="J15" s="17"/>
      <c r="K15" s="17"/>
      <c r="L15" s="17"/>
      <c r="M15" s="17"/>
      <c r="N15" s="18"/>
    </row>
    <row r="16" spans="1:14" x14ac:dyDescent="0.25">
      <c r="A16" s="9">
        <v>1015</v>
      </c>
      <c r="B16" s="10" t="s">
        <v>4</v>
      </c>
      <c r="C16" s="10" t="s">
        <v>14</v>
      </c>
      <c r="D16" s="10" t="s">
        <v>22</v>
      </c>
      <c r="E16" s="10" t="s">
        <v>21</v>
      </c>
      <c r="F16" s="11">
        <v>14000</v>
      </c>
      <c r="G16" s="12">
        <v>4</v>
      </c>
      <c r="I16" s="22"/>
      <c r="J16" s="23"/>
      <c r="K16" s="23"/>
      <c r="L16" s="23"/>
      <c r="M16" s="23"/>
      <c r="N16" s="24"/>
    </row>
  </sheetData>
  <mergeCells count="5">
    <mergeCell ref="I2:N2"/>
    <mergeCell ref="I5:N5"/>
    <mergeCell ref="I8:N8"/>
    <mergeCell ref="I11:N11"/>
    <mergeCell ref="I14:N1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2026-09-21T18:13:24Z</dcterms:created>
  <dcterms:modified xsi:type="dcterms:W3CDTF">2026-09-21T19:33:21Z</dcterms:modified>
</cp:coreProperties>
</file>